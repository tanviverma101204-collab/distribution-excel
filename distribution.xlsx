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2ad16496f841e3/Documents/"/>
    </mc:Choice>
  </mc:AlternateContent>
  <xr:revisionPtr revIDLastSave="0" documentId="8_{89370900-D16D-4BEF-AA80-3E84A463825F}" xr6:coauthVersionLast="47" xr6:coauthVersionMax="47" xr10:uidLastSave="{00000000-0000-0000-0000-000000000000}"/>
  <bookViews>
    <workbookView xWindow="-108" yWindow="-108" windowWidth="23256" windowHeight="12456" xr2:uid="{E4642650-85C6-48F9-BE6E-A26B160A9034}"/>
  </bookViews>
  <sheets>
    <sheet name="Sheet1" sheetId="1" r:id="rId1"/>
  </sheets>
  <definedNames>
    <definedName name="_xlchart.v1.0" hidden="1">Sheet1!$E$53:$E$152</definedName>
    <definedName name="_xlchart.v1.1" hidden="1">Sheet1!$E$53:$E$152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6" i="1" l="1"/>
  <c r="D162" i="1"/>
  <c r="E152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53" i="1"/>
  <c r="F38" i="1"/>
  <c r="I35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11" i="1"/>
</calcChain>
</file>

<file path=xl/sharedStrings.xml><?xml version="1.0" encoding="utf-8"?>
<sst xmlns="http://schemas.openxmlformats.org/spreadsheetml/2006/main" count="105" uniqueCount="94">
  <si>
    <t>DISTRIBUTION ASSIGNMENT</t>
  </si>
  <si>
    <t>Question 1</t>
  </si>
  <si>
    <t>Simulate 30 rolls with =RANDBETWEEN(1,6). What is the probability of rolling a 3 exactly 5 times? (Hint: Use BINOM.DIST)</t>
  </si>
  <si>
    <t>Answer 1</t>
  </si>
  <si>
    <t>Step 1: Simulation in Excel</t>
  </si>
  <si>
    <t xml:space="preserve"> formula:</t>
  </si>
  <si>
    <t>Step 2: Probability using Binomial Distribution</t>
  </si>
  <si>
    <t>For a fair die:</t>
  </si>
  <si>
    <t xml:space="preserve">Probability of getting 3 in one roll </t>
  </si>
  <si>
    <t>Number of trials n = 30</t>
  </si>
  <si>
    <t>Number of successes x = 5</t>
  </si>
  <si>
    <t>Formula:</t>
  </si>
  <si>
    <t>Result</t>
  </si>
  <si>
    <t>≈ 0.178</t>
  </si>
  <si>
    <t>Explanation</t>
  </si>
  <si>
    <t xml:space="preserve">This means there is about 17.8% probability that the number 3 appears exactly 5 times </t>
  </si>
  <si>
    <t xml:space="preserve">in 30 rolls of a fair die. The binomial distribution is used because each roll is </t>
  </si>
  <si>
    <t xml:space="preserve">independent and has only two outcomes relative to our event: either the outcome is 3 </t>
  </si>
  <si>
    <t>(success) or not 3 (failure).</t>
  </si>
  <si>
    <t>Question 2:</t>
  </si>
  <si>
    <t>Generate 100 values in Excel using the continuous uniform distribution RAND() and plot a histogram. Describe the shape of the distribution.</t>
  </si>
  <si>
    <t>Answer 2</t>
  </si>
  <si>
    <t>Step 1: Generate Data</t>
  </si>
  <si>
    <t>Step 2: Create Histogram</t>
  </si>
  <si>
    <t>A uniform distribution means that all values between 0 and 1 have an equal probability of occurring. Therefore the histogram bars will appear roughly equal in height across intervals.</t>
  </si>
  <si>
    <t>Question 3</t>
  </si>
  <si>
    <t>A dataset has a mean of 50 and a standard deviation of 5. What percentage of values lie between 45 and 55 if the data follows a normal distribution?</t>
  </si>
  <si>
    <t>Answer 3</t>
  </si>
  <si>
    <t>Calculation</t>
  </si>
  <si>
    <t>≈ 0.6826</t>
  </si>
  <si>
    <t>Approximately 68.26% of the data values lie between 45 and 55 in a normal distribution.</t>
  </si>
  <si>
    <t>Question 4</t>
  </si>
  <si>
    <t>What is the concept of standardization (z-score), and why is it important in data analysis? Explain the formula and how standardization transforms a dataset.</t>
  </si>
  <si>
    <t>Answer 4</t>
  </si>
  <si>
    <t>Concept of Standardization (Z-score)</t>
  </si>
  <si>
    <t>Definition</t>
  </si>
  <si>
    <t>Standardization is the process of converting a data value into a standard score (z-score) so that it shows how far the value is from the mean in terms of standard deviations.</t>
  </si>
  <si>
    <t>Formula</t>
  </si>
  <si>
    <t>Example</t>
  </si>
  <si>
    <t>If:</t>
  </si>
  <si>
    <t>Value = 60</t>
  </si>
  <si>
    <t>Mean = 50</t>
  </si>
  <si>
    <t>Standard deviation = 5</t>
  </si>
  <si>
    <t>The value 60 is 2 standard deviations above the mean.</t>
  </si>
  <si>
    <t>Importance</t>
  </si>
  <si>
    <t>Standardization helps to:</t>
  </si>
  <si>
    <t>Compare data from different scales</t>
  </si>
  <si>
    <t>Detect outliers</t>
  </si>
  <si>
    <t>Convert data to standard normal distribution</t>
  </si>
  <si>
    <t>Question 5</t>
  </si>
  <si>
    <t>What is Kurtosis and their type?</t>
  </si>
  <si>
    <t>Answer 5</t>
  </si>
  <si>
    <t>Kurtosis is a statistical measure that describes the shape of the tails of a distribution. It indicates how heavy or light the tails of a distribution are compared to a normal distribution.</t>
  </si>
  <si>
    <t>Types of Kurtosis</t>
  </si>
  <si>
    <t>Mesokurtic</t>
  </si>
  <si>
    <t>Same kurtosis as normal distribution</t>
  </si>
  <si>
    <t>Moderate tails</t>
  </si>
  <si>
    <t>Example: Normal distribution</t>
  </si>
  <si>
    <t>Leptokurtic</t>
  </si>
  <si>
    <t>High kurtosis</t>
  </si>
  <si>
    <t>Heavy tails</t>
  </si>
  <si>
    <t>More extreme values</t>
  </si>
  <si>
    <t>Platykurtic</t>
  </si>
  <si>
    <t>Low kurtosis</t>
  </si>
  <si>
    <t>Light tails</t>
  </si>
  <si>
    <t>Fewer extreme values</t>
  </si>
  <si>
    <t>Explain why the uniform distribution is a good model for the outcome of rolling a fair die.</t>
  </si>
  <si>
    <t>Answer 6:</t>
  </si>
  <si>
    <t>Question 6:</t>
  </si>
  <si>
    <t>A uniform distribution occurs when all outcomes have equal probability.</t>
  </si>
  <si>
    <t>A fair die has 6 possible outcomes:</t>
  </si>
  <si>
    <t>1, 2, 3, 4, 5, 6</t>
  </si>
  <si>
    <t>Probability of each outcome:</t>
  </si>
  <si>
    <t>Because each number on a fair die has the same chance of occurring, the probability distribution is uniform. Therefore a uniform distribution is an appropriate model for the outcomes of rolling a fair die.</t>
  </si>
  <si>
    <t>Question 7</t>
  </si>
  <si>
    <t>Use Excel to compute the probability of getting at least 8 successes in 15 trials with success probability 0.5</t>
  </si>
  <si>
    <t>Answer 7</t>
  </si>
  <si>
    <t>Probability of at least 8 successes in 15 trials (p = 0.5)</t>
  </si>
  <si>
    <t>This follows a binomial distribution.</t>
  </si>
  <si>
    <t>n = 15</t>
  </si>
  <si>
    <t>p = 0.5</t>
  </si>
  <si>
    <t>x ≥ 8</t>
  </si>
  <si>
    <t>≈ 0.500</t>
  </si>
  <si>
    <t>There is about 50% probability of getting at least 8 successes in 15 trials when the success probability is 0.5.</t>
  </si>
  <si>
    <t>Question 8</t>
  </si>
  <si>
    <t>How does log transformation help in stabilizing variance and making data more normally distributed?</t>
  </si>
  <si>
    <t>Answer 8</t>
  </si>
  <si>
    <t>Log transformation means applying the logarithm function to data values.</t>
  </si>
  <si>
    <t>Log transformation helps to:</t>
  </si>
  <si>
    <t>Reduce skewness in data</t>
  </si>
  <si>
    <t>Stabilize variance</t>
  </si>
  <si>
    <t>Make data closer to normal distribution</t>
  </si>
  <si>
    <t>Reduce the effect of large outliers</t>
  </si>
  <si>
    <t>Income data or biological data often have right skewness. Applying log transformation compresses large values and spreads smaller values, improving statistical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</si>
</sst>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63FC612-F0E3-43BF-B6BF-5FF67783DD5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135</xdr:row>
      <xdr:rowOff>41910</xdr:rowOff>
    </xdr:from>
    <xdr:to>
      <xdr:col>15</xdr:col>
      <xdr:colOff>228600</xdr:colOff>
      <xdr:row>150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DC5D7A-E3CA-B959-6ADC-DFABAB9236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4845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941A-A3C3-4D54-A301-63E1C9CC0AA7}">
  <dimension ref="C2:R260"/>
  <sheetViews>
    <sheetView tabSelected="1" topLeftCell="A230" workbookViewId="0">
      <selection activeCell="C242" sqref="C242:M244"/>
    </sheetView>
  </sheetViews>
  <sheetFormatPr defaultRowHeight="14.4" x14ac:dyDescent="0.3"/>
  <sheetData>
    <row r="2" spans="3:15" ht="23.4" x14ac:dyDescent="0.45">
      <c r="D2" s="1" t="s">
        <v>0</v>
      </c>
    </row>
    <row r="6" spans="3:15" x14ac:dyDescent="0.3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3:15" x14ac:dyDescent="0.3">
      <c r="C7" s="2"/>
      <c r="D7" s="2" t="s">
        <v>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3:15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3:15" x14ac:dyDescent="0.3">
      <c r="C9" s="2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3:15" x14ac:dyDescent="0.3">
      <c r="D10" s="2" t="s">
        <v>4</v>
      </c>
    </row>
    <row r="11" spans="3:15" x14ac:dyDescent="0.3">
      <c r="E11" t="s">
        <v>5</v>
      </c>
      <c r="F11">
        <f ca="1">RANDBETWEEN(1,6)</f>
        <v>3</v>
      </c>
    </row>
    <row r="12" spans="3:15" x14ac:dyDescent="0.3">
      <c r="F12">
        <f t="shared" ref="F12:F31" ca="1" si="0">RANDBETWEEN(1,6)</f>
        <v>2</v>
      </c>
    </row>
    <row r="13" spans="3:15" x14ac:dyDescent="0.3">
      <c r="F13">
        <f t="shared" ca="1" si="0"/>
        <v>5</v>
      </c>
    </row>
    <row r="14" spans="3:15" x14ac:dyDescent="0.3">
      <c r="F14">
        <f t="shared" ca="1" si="0"/>
        <v>1</v>
      </c>
    </row>
    <row r="15" spans="3:15" x14ac:dyDescent="0.3">
      <c r="F15">
        <f t="shared" ca="1" si="0"/>
        <v>5</v>
      </c>
    </row>
    <row r="16" spans="3:15" x14ac:dyDescent="0.3">
      <c r="F16">
        <f t="shared" ca="1" si="0"/>
        <v>4</v>
      </c>
    </row>
    <row r="17" spans="6:6" x14ac:dyDescent="0.3">
      <c r="F17">
        <f t="shared" ca="1" si="0"/>
        <v>3</v>
      </c>
    </row>
    <row r="18" spans="6:6" x14ac:dyDescent="0.3">
      <c r="F18">
        <f t="shared" ca="1" si="0"/>
        <v>4</v>
      </c>
    </row>
    <row r="19" spans="6:6" x14ac:dyDescent="0.3">
      <c r="F19">
        <f t="shared" ca="1" si="0"/>
        <v>3</v>
      </c>
    </row>
    <row r="20" spans="6:6" x14ac:dyDescent="0.3">
      <c r="F20">
        <f t="shared" ca="1" si="0"/>
        <v>5</v>
      </c>
    </row>
    <row r="21" spans="6:6" x14ac:dyDescent="0.3">
      <c r="F21">
        <f t="shared" ca="1" si="0"/>
        <v>3</v>
      </c>
    </row>
    <row r="22" spans="6:6" x14ac:dyDescent="0.3">
      <c r="F22">
        <f t="shared" ca="1" si="0"/>
        <v>3</v>
      </c>
    </row>
    <row r="23" spans="6:6" x14ac:dyDescent="0.3">
      <c r="F23">
        <f t="shared" ca="1" si="0"/>
        <v>5</v>
      </c>
    </row>
    <row r="24" spans="6:6" x14ac:dyDescent="0.3">
      <c r="F24">
        <f t="shared" ca="1" si="0"/>
        <v>2</v>
      </c>
    </row>
    <row r="25" spans="6:6" x14ac:dyDescent="0.3">
      <c r="F25">
        <f t="shared" ca="1" si="0"/>
        <v>3</v>
      </c>
    </row>
    <row r="26" spans="6:6" x14ac:dyDescent="0.3">
      <c r="F26">
        <f t="shared" ca="1" si="0"/>
        <v>3</v>
      </c>
    </row>
    <row r="27" spans="6:6" x14ac:dyDescent="0.3">
      <c r="F27">
        <f t="shared" ca="1" si="0"/>
        <v>1</v>
      </c>
    </row>
    <row r="28" spans="6:6" x14ac:dyDescent="0.3">
      <c r="F28">
        <f t="shared" ca="1" si="0"/>
        <v>5</v>
      </c>
    </row>
    <row r="29" spans="6:6" x14ac:dyDescent="0.3">
      <c r="F29">
        <f t="shared" ca="1" si="0"/>
        <v>4</v>
      </c>
    </row>
    <row r="30" spans="6:6" x14ac:dyDescent="0.3">
      <c r="F30">
        <f t="shared" ca="1" si="0"/>
        <v>3</v>
      </c>
    </row>
    <row r="31" spans="6:6" x14ac:dyDescent="0.3">
      <c r="F31">
        <f t="shared" ca="1" si="0"/>
        <v>1</v>
      </c>
    </row>
    <row r="33" spans="3:16" x14ac:dyDescent="0.3">
      <c r="E33" s="2" t="s">
        <v>6</v>
      </c>
    </row>
    <row r="34" spans="3:16" x14ac:dyDescent="0.3">
      <c r="E34" t="s">
        <v>7</v>
      </c>
    </row>
    <row r="35" spans="3:16" x14ac:dyDescent="0.3">
      <c r="E35" t="s">
        <v>8</v>
      </c>
      <c r="I35">
        <f>1/6</f>
        <v>0.16666666666666666</v>
      </c>
    </row>
    <row r="36" spans="3:16" x14ac:dyDescent="0.3">
      <c r="E36" t="s">
        <v>9</v>
      </c>
    </row>
    <row r="37" spans="3:16" x14ac:dyDescent="0.3">
      <c r="E37" t="s">
        <v>10</v>
      </c>
    </row>
    <row r="38" spans="3:16" x14ac:dyDescent="0.3">
      <c r="E38" t="s">
        <v>11</v>
      </c>
      <c r="F38">
        <f>_xlfn.BINOM.DIST(5,30,1/6,FALSE)</f>
        <v>0.19210813105163416</v>
      </c>
    </row>
    <row r="39" spans="3:16" x14ac:dyDescent="0.3">
      <c r="F39" t="s">
        <v>12</v>
      </c>
    </row>
    <row r="40" spans="3:16" x14ac:dyDescent="0.3">
      <c r="F40" t="s">
        <v>13</v>
      </c>
    </row>
    <row r="41" spans="3:16" x14ac:dyDescent="0.3">
      <c r="E41" t="s">
        <v>14</v>
      </c>
    </row>
    <row r="42" spans="3:16" x14ac:dyDescent="0.3">
      <c r="E42" t="s">
        <v>15</v>
      </c>
    </row>
    <row r="43" spans="3:16" x14ac:dyDescent="0.3">
      <c r="E43" t="s">
        <v>16</v>
      </c>
    </row>
    <row r="44" spans="3:16" x14ac:dyDescent="0.3">
      <c r="E44" t="s">
        <v>17</v>
      </c>
    </row>
    <row r="45" spans="3:16" x14ac:dyDescent="0.3">
      <c r="E45" t="s">
        <v>18</v>
      </c>
    </row>
    <row r="48" spans="3:16" x14ac:dyDescent="0.3">
      <c r="C48" s="2" t="s">
        <v>19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3:16" x14ac:dyDescent="0.3">
      <c r="C49" s="2"/>
      <c r="D49" s="2" t="s">
        <v>20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3:16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3:16" x14ac:dyDescent="0.3">
      <c r="C51" s="2" t="s">
        <v>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3:16" x14ac:dyDescent="0.3">
      <c r="D52" t="s">
        <v>22</v>
      </c>
    </row>
    <row r="53" spans="3:16" x14ac:dyDescent="0.3">
      <c r="D53" t="s">
        <v>11</v>
      </c>
      <c r="E53">
        <f ca="1">RAND()</f>
        <v>0.56519187457299869</v>
      </c>
    </row>
    <row r="54" spans="3:16" x14ac:dyDescent="0.3">
      <c r="E54">
        <f t="shared" ref="E54:E117" ca="1" si="1">RAND()</f>
        <v>0.65981700019261502</v>
      </c>
    </row>
    <row r="55" spans="3:16" x14ac:dyDescent="0.3">
      <c r="E55">
        <f t="shared" ca="1" si="1"/>
        <v>0.23707728670410855</v>
      </c>
    </row>
    <row r="56" spans="3:16" x14ac:dyDescent="0.3">
      <c r="E56">
        <f t="shared" ca="1" si="1"/>
        <v>0.97502151862716802</v>
      </c>
    </row>
    <row r="57" spans="3:16" x14ac:dyDescent="0.3">
      <c r="E57">
        <f t="shared" ca="1" si="1"/>
        <v>9.29759386931861E-2</v>
      </c>
    </row>
    <row r="58" spans="3:16" x14ac:dyDescent="0.3">
      <c r="E58">
        <f t="shared" ca="1" si="1"/>
        <v>0.50553638884558161</v>
      </c>
    </row>
    <row r="59" spans="3:16" x14ac:dyDescent="0.3">
      <c r="E59">
        <f t="shared" ca="1" si="1"/>
        <v>0.53796334649055388</v>
      </c>
    </row>
    <row r="60" spans="3:16" x14ac:dyDescent="0.3">
      <c r="E60">
        <f t="shared" ca="1" si="1"/>
        <v>0.31488129626942674</v>
      </c>
    </row>
    <row r="61" spans="3:16" x14ac:dyDescent="0.3">
      <c r="E61">
        <f t="shared" ca="1" si="1"/>
        <v>0.40405291880374972</v>
      </c>
    </row>
    <row r="62" spans="3:16" x14ac:dyDescent="0.3">
      <c r="E62">
        <f t="shared" ca="1" si="1"/>
        <v>0.54806518909876834</v>
      </c>
    </row>
    <row r="63" spans="3:16" x14ac:dyDescent="0.3">
      <c r="E63">
        <f t="shared" ca="1" si="1"/>
        <v>3.7545448951603944E-2</v>
      </c>
    </row>
    <row r="64" spans="3:16" x14ac:dyDescent="0.3">
      <c r="E64">
        <f t="shared" ca="1" si="1"/>
        <v>0.106304236183835</v>
      </c>
    </row>
    <row r="65" spans="5:5" x14ac:dyDescent="0.3">
      <c r="E65">
        <f t="shared" ca="1" si="1"/>
        <v>0.65102759952534217</v>
      </c>
    </row>
    <row r="66" spans="5:5" x14ac:dyDescent="0.3">
      <c r="E66">
        <f t="shared" ca="1" si="1"/>
        <v>0.32695354858890224</v>
      </c>
    </row>
    <row r="67" spans="5:5" x14ac:dyDescent="0.3">
      <c r="E67">
        <f t="shared" ca="1" si="1"/>
        <v>0.65933716053237001</v>
      </c>
    </row>
    <row r="68" spans="5:5" x14ac:dyDescent="0.3">
      <c r="E68">
        <f t="shared" ca="1" si="1"/>
        <v>0.6409657627774793</v>
      </c>
    </row>
    <row r="69" spans="5:5" x14ac:dyDescent="0.3">
      <c r="E69">
        <f t="shared" ca="1" si="1"/>
        <v>0.42859814140509378</v>
      </c>
    </row>
    <row r="70" spans="5:5" x14ac:dyDescent="0.3">
      <c r="E70">
        <f t="shared" ca="1" si="1"/>
        <v>0.1402822504673541</v>
      </c>
    </row>
    <row r="71" spans="5:5" x14ac:dyDescent="0.3">
      <c r="E71">
        <f t="shared" ca="1" si="1"/>
        <v>0.43919901590612342</v>
      </c>
    </row>
    <row r="72" spans="5:5" x14ac:dyDescent="0.3">
      <c r="E72">
        <f t="shared" ca="1" si="1"/>
        <v>0.66118987865987799</v>
      </c>
    </row>
    <row r="73" spans="5:5" x14ac:dyDescent="0.3">
      <c r="E73">
        <f t="shared" ca="1" si="1"/>
        <v>0.89190251110788676</v>
      </c>
    </row>
    <row r="74" spans="5:5" x14ac:dyDescent="0.3">
      <c r="E74">
        <f t="shared" ca="1" si="1"/>
        <v>0.63904585228237998</v>
      </c>
    </row>
    <row r="75" spans="5:5" x14ac:dyDescent="0.3">
      <c r="E75">
        <f t="shared" ca="1" si="1"/>
        <v>0.57538820200317753</v>
      </c>
    </row>
    <row r="76" spans="5:5" x14ac:dyDescent="0.3">
      <c r="E76">
        <f t="shared" ca="1" si="1"/>
        <v>0.26305543626910666</v>
      </c>
    </row>
    <row r="77" spans="5:5" x14ac:dyDescent="0.3">
      <c r="E77">
        <f t="shared" ca="1" si="1"/>
        <v>0.95785475710587153</v>
      </c>
    </row>
    <row r="78" spans="5:5" x14ac:dyDescent="0.3">
      <c r="E78">
        <f t="shared" ca="1" si="1"/>
        <v>0.67944653727170157</v>
      </c>
    </row>
    <row r="79" spans="5:5" x14ac:dyDescent="0.3">
      <c r="E79">
        <f t="shared" ca="1" si="1"/>
        <v>6.3305337197121725E-2</v>
      </c>
    </row>
    <row r="80" spans="5:5" x14ac:dyDescent="0.3">
      <c r="E80">
        <f t="shared" ca="1" si="1"/>
        <v>0.65857771764376649</v>
      </c>
    </row>
    <row r="81" spans="5:5" x14ac:dyDescent="0.3">
      <c r="E81">
        <f t="shared" ca="1" si="1"/>
        <v>0.60779332330121394</v>
      </c>
    </row>
    <row r="82" spans="5:5" x14ac:dyDescent="0.3">
      <c r="E82">
        <f t="shared" ca="1" si="1"/>
        <v>0.62156361685016681</v>
      </c>
    </row>
    <row r="83" spans="5:5" x14ac:dyDescent="0.3">
      <c r="E83">
        <f t="shared" ca="1" si="1"/>
        <v>0.76760142518712671</v>
      </c>
    </row>
    <row r="84" spans="5:5" x14ac:dyDescent="0.3">
      <c r="E84">
        <f t="shared" ca="1" si="1"/>
        <v>0.7956609766019741</v>
      </c>
    </row>
    <row r="85" spans="5:5" x14ac:dyDescent="0.3">
      <c r="E85">
        <f t="shared" ca="1" si="1"/>
        <v>0.71800270878897443</v>
      </c>
    </row>
    <row r="86" spans="5:5" x14ac:dyDescent="0.3">
      <c r="E86">
        <f t="shared" ca="1" si="1"/>
        <v>0.47531169928275463</v>
      </c>
    </row>
    <row r="87" spans="5:5" x14ac:dyDescent="0.3">
      <c r="E87">
        <f t="shared" ca="1" si="1"/>
        <v>0.94891904478726674</v>
      </c>
    </row>
    <row r="88" spans="5:5" x14ac:dyDescent="0.3">
      <c r="E88">
        <f t="shared" ca="1" si="1"/>
        <v>0.5225048342007057</v>
      </c>
    </row>
    <row r="89" spans="5:5" x14ac:dyDescent="0.3">
      <c r="E89">
        <f t="shared" ca="1" si="1"/>
        <v>0.20542026652409295</v>
      </c>
    </row>
    <row r="90" spans="5:5" x14ac:dyDescent="0.3">
      <c r="E90">
        <f t="shared" ca="1" si="1"/>
        <v>0.60705871488379304</v>
      </c>
    </row>
    <row r="91" spans="5:5" x14ac:dyDescent="0.3">
      <c r="E91">
        <f t="shared" ca="1" si="1"/>
        <v>0.89574047633239029</v>
      </c>
    </row>
    <row r="92" spans="5:5" x14ac:dyDescent="0.3">
      <c r="E92">
        <f t="shared" ca="1" si="1"/>
        <v>0.13027712518190782</v>
      </c>
    </row>
    <row r="93" spans="5:5" x14ac:dyDescent="0.3">
      <c r="E93">
        <f t="shared" ca="1" si="1"/>
        <v>5.0843879297203354E-2</v>
      </c>
    </row>
    <row r="94" spans="5:5" x14ac:dyDescent="0.3">
      <c r="E94">
        <f t="shared" ca="1" si="1"/>
        <v>0.87885221115442358</v>
      </c>
    </row>
    <row r="95" spans="5:5" x14ac:dyDescent="0.3">
      <c r="E95">
        <f t="shared" ca="1" si="1"/>
        <v>0.62750651064985863</v>
      </c>
    </row>
    <row r="96" spans="5:5" x14ac:dyDescent="0.3">
      <c r="E96">
        <f t="shared" ca="1" si="1"/>
        <v>0.81575923318275778</v>
      </c>
    </row>
    <row r="97" spans="5:5" x14ac:dyDescent="0.3">
      <c r="E97">
        <f t="shared" ca="1" si="1"/>
        <v>0.84700330529668444</v>
      </c>
    </row>
    <row r="98" spans="5:5" x14ac:dyDescent="0.3">
      <c r="E98">
        <f t="shared" ca="1" si="1"/>
        <v>0.88538566546529085</v>
      </c>
    </row>
    <row r="99" spans="5:5" x14ac:dyDescent="0.3">
      <c r="E99">
        <f t="shared" ca="1" si="1"/>
        <v>0.82662650671594184</v>
      </c>
    </row>
    <row r="100" spans="5:5" x14ac:dyDescent="0.3">
      <c r="E100">
        <f t="shared" ca="1" si="1"/>
        <v>0.22079203278506598</v>
      </c>
    </row>
    <row r="101" spans="5:5" x14ac:dyDescent="0.3">
      <c r="E101">
        <f t="shared" ca="1" si="1"/>
        <v>0.97696778453068434</v>
      </c>
    </row>
    <row r="102" spans="5:5" x14ac:dyDescent="0.3">
      <c r="E102">
        <f t="shared" ca="1" si="1"/>
        <v>0.5344948766830786</v>
      </c>
    </row>
    <row r="103" spans="5:5" x14ac:dyDescent="0.3">
      <c r="E103">
        <f t="shared" ca="1" si="1"/>
        <v>0.83732577935714858</v>
      </c>
    </row>
    <row r="104" spans="5:5" x14ac:dyDescent="0.3">
      <c r="E104">
        <f t="shared" ca="1" si="1"/>
        <v>0.79646044129634097</v>
      </c>
    </row>
    <row r="105" spans="5:5" x14ac:dyDescent="0.3">
      <c r="E105">
        <f t="shared" ca="1" si="1"/>
        <v>0.98598406998781951</v>
      </c>
    </row>
    <row r="106" spans="5:5" x14ac:dyDescent="0.3">
      <c r="E106">
        <f t="shared" ca="1" si="1"/>
        <v>0.2377695220901711</v>
      </c>
    </row>
    <row r="107" spans="5:5" x14ac:dyDescent="0.3">
      <c r="E107">
        <f t="shared" ca="1" si="1"/>
        <v>0.82088107141033051</v>
      </c>
    </row>
    <row r="108" spans="5:5" x14ac:dyDescent="0.3">
      <c r="E108">
        <f t="shared" ca="1" si="1"/>
        <v>0.68254007992172394</v>
      </c>
    </row>
    <row r="109" spans="5:5" x14ac:dyDescent="0.3">
      <c r="E109">
        <f t="shared" ca="1" si="1"/>
        <v>0.98108394485238015</v>
      </c>
    </row>
    <row r="110" spans="5:5" x14ac:dyDescent="0.3">
      <c r="E110">
        <f t="shared" ca="1" si="1"/>
        <v>0.77492563797288128</v>
      </c>
    </row>
    <row r="111" spans="5:5" x14ac:dyDescent="0.3">
      <c r="E111">
        <f t="shared" ca="1" si="1"/>
        <v>0.71361434042534144</v>
      </c>
    </row>
    <row r="112" spans="5:5" x14ac:dyDescent="0.3">
      <c r="E112">
        <f t="shared" ca="1" si="1"/>
        <v>7.443427715419304E-2</v>
      </c>
    </row>
    <row r="113" spans="5:5" x14ac:dyDescent="0.3">
      <c r="E113">
        <f t="shared" ca="1" si="1"/>
        <v>5.6684643157478121E-2</v>
      </c>
    </row>
    <row r="114" spans="5:5" x14ac:dyDescent="0.3">
      <c r="E114">
        <f t="shared" ca="1" si="1"/>
        <v>0.90149760561928816</v>
      </c>
    </row>
    <row r="115" spans="5:5" x14ac:dyDescent="0.3">
      <c r="E115">
        <f t="shared" ca="1" si="1"/>
        <v>0.89921374627778705</v>
      </c>
    </row>
    <row r="116" spans="5:5" x14ac:dyDescent="0.3">
      <c r="E116">
        <f t="shared" ca="1" si="1"/>
        <v>0.27454718543840428</v>
      </c>
    </row>
    <row r="117" spans="5:5" x14ac:dyDescent="0.3">
      <c r="E117">
        <f t="shared" ca="1" si="1"/>
        <v>0.30113060676813863</v>
      </c>
    </row>
    <row r="118" spans="5:5" x14ac:dyDescent="0.3">
      <c r="E118">
        <f t="shared" ref="E118:E153" ca="1" si="2">RAND()</f>
        <v>0.73958424370543974</v>
      </c>
    </row>
    <row r="119" spans="5:5" x14ac:dyDescent="0.3">
      <c r="E119">
        <f t="shared" ca="1" si="2"/>
        <v>0.31922199379165905</v>
      </c>
    </row>
    <row r="120" spans="5:5" x14ac:dyDescent="0.3">
      <c r="E120">
        <f t="shared" ca="1" si="2"/>
        <v>0.53278391543235104</v>
      </c>
    </row>
    <row r="121" spans="5:5" x14ac:dyDescent="0.3">
      <c r="E121">
        <f t="shared" ca="1" si="2"/>
        <v>0.23552250903961613</v>
      </c>
    </row>
    <row r="122" spans="5:5" x14ac:dyDescent="0.3">
      <c r="E122">
        <f t="shared" ca="1" si="2"/>
        <v>0.28507662426303748</v>
      </c>
    </row>
    <row r="123" spans="5:5" x14ac:dyDescent="0.3">
      <c r="E123">
        <f t="shared" ca="1" si="2"/>
        <v>0.79267559446005176</v>
      </c>
    </row>
    <row r="124" spans="5:5" x14ac:dyDescent="0.3">
      <c r="E124">
        <f t="shared" ca="1" si="2"/>
        <v>0.11627212138357157</v>
      </c>
    </row>
    <row r="125" spans="5:5" x14ac:dyDescent="0.3">
      <c r="E125">
        <f t="shared" ca="1" si="2"/>
        <v>9.3852545426389433E-2</v>
      </c>
    </row>
    <row r="126" spans="5:5" x14ac:dyDescent="0.3">
      <c r="E126">
        <f t="shared" ca="1" si="2"/>
        <v>0.26477130247588443</v>
      </c>
    </row>
    <row r="127" spans="5:5" x14ac:dyDescent="0.3">
      <c r="E127">
        <f t="shared" ca="1" si="2"/>
        <v>0.72667281475397982</v>
      </c>
    </row>
    <row r="128" spans="5:5" x14ac:dyDescent="0.3">
      <c r="E128">
        <f t="shared" ca="1" si="2"/>
        <v>5.2627531383103388E-2</v>
      </c>
    </row>
    <row r="129" spans="5:9" x14ac:dyDescent="0.3">
      <c r="E129">
        <f t="shared" ca="1" si="2"/>
        <v>0.95877845268659245</v>
      </c>
    </row>
    <row r="130" spans="5:9" x14ac:dyDescent="0.3">
      <c r="E130">
        <f t="shared" ca="1" si="2"/>
        <v>0.49283190316441228</v>
      </c>
    </row>
    <row r="131" spans="5:9" x14ac:dyDescent="0.3">
      <c r="E131">
        <f t="shared" ca="1" si="2"/>
        <v>9.2543561450598055E-2</v>
      </c>
    </row>
    <row r="132" spans="5:9" x14ac:dyDescent="0.3">
      <c r="E132">
        <f t="shared" ca="1" si="2"/>
        <v>2.6984379597602248E-2</v>
      </c>
    </row>
    <row r="133" spans="5:9" x14ac:dyDescent="0.3">
      <c r="E133">
        <f t="shared" ca="1" si="2"/>
        <v>0.56070789994721204</v>
      </c>
    </row>
    <row r="134" spans="5:9" x14ac:dyDescent="0.3">
      <c r="E134">
        <f t="shared" ca="1" si="2"/>
        <v>0.47281341946903988</v>
      </c>
      <c r="I134" t="s">
        <v>23</v>
      </c>
    </row>
    <row r="135" spans="5:9" x14ac:dyDescent="0.3">
      <c r="E135">
        <f t="shared" ca="1" si="2"/>
        <v>0.77693398385569323</v>
      </c>
    </row>
    <row r="136" spans="5:9" x14ac:dyDescent="0.3">
      <c r="E136">
        <f t="shared" ca="1" si="2"/>
        <v>0.20935568274349969</v>
      </c>
    </row>
    <row r="137" spans="5:9" x14ac:dyDescent="0.3">
      <c r="E137">
        <f t="shared" ca="1" si="2"/>
        <v>0.10911818133477602</v>
      </c>
    </row>
    <row r="138" spans="5:9" x14ac:dyDescent="0.3">
      <c r="E138">
        <f t="shared" ca="1" si="2"/>
        <v>0.55895523587346518</v>
      </c>
    </row>
    <row r="139" spans="5:9" x14ac:dyDescent="0.3">
      <c r="E139">
        <f t="shared" ca="1" si="2"/>
        <v>0.7273769898703194</v>
      </c>
    </row>
    <row r="140" spans="5:9" x14ac:dyDescent="0.3">
      <c r="E140">
        <f t="shared" ca="1" si="2"/>
        <v>0.30060503106783065</v>
      </c>
    </row>
    <row r="141" spans="5:9" x14ac:dyDescent="0.3">
      <c r="E141">
        <f t="shared" ca="1" si="2"/>
        <v>0.43649339131487896</v>
      </c>
    </row>
    <row r="142" spans="5:9" x14ac:dyDescent="0.3">
      <c r="E142">
        <f t="shared" ca="1" si="2"/>
        <v>0.43078884683636731</v>
      </c>
    </row>
    <row r="143" spans="5:9" x14ac:dyDescent="0.3">
      <c r="E143">
        <f t="shared" ca="1" si="2"/>
        <v>0.91856845760341965</v>
      </c>
    </row>
    <row r="144" spans="5:9" x14ac:dyDescent="0.3">
      <c r="E144">
        <f t="shared" ca="1" si="2"/>
        <v>0.15828651949665351</v>
      </c>
    </row>
    <row r="145" spans="3:17" x14ac:dyDescent="0.3">
      <c r="E145">
        <f t="shared" ca="1" si="2"/>
        <v>0.3141265253966351</v>
      </c>
    </row>
    <row r="146" spans="3:17" x14ac:dyDescent="0.3">
      <c r="E146">
        <f t="shared" ca="1" si="2"/>
        <v>0.88464409071152728</v>
      </c>
    </row>
    <row r="147" spans="3:17" x14ac:dyDescent="0.3">
      <c r="E147">
        <f t="shared" ca="1" si="2"/>
        <v>0.70287219973615156</v>
      </c>
    </row>
    <row r="148" spans="3:17" x14ac:dyDescent="0.3">
      <c r="E148">
        <f t="shared" ca="1" si="2"/>
        <v>0.49142217801307742</v>
      </c>
    </row>
    <row r="149" spans="3:17" x14ac:dyDescent="0.3">
      <c r="E149">
        <f t="shared" ca="1" si="2"/>
        <v>4.2448809990569325E-2</v>
      </c>
    </row>
    <row r="150" spans="3:17" x14ac:dyDescent="0.3">
      <c r="E150">
        <f t="shared" ca="1" si="2"/>
        <v>0.24865203982731943</v>
      </c>
    </row>
    <row r="151" spans="3:17" x14ac:dyDescent="0.3">
      <c r="E151">
        <f t="shared" ca="1" si="2"/>
        <v>0.65824061700518832</v>
      </c>
    </row>
    <row r="152" spans="3:17" x14ac:dyDescent="0.3">
      <c r="E152">
        <f ca="1">RAND()</f>
        <v>0.47776465773666443</v>
      </c>
    </row>
    <row r="154" spans="3:17" x14ac:dyDescent="0.3">
      <c r="D154" t="s">
        <v>24</v>
      </c>
    </row>
    <row r="157" spans="3:17" x14ac:dyDescent="0.3">
      <c r="C157" s="2" t="s">
        <v>25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3:17" x14ac:dyDescent="0.3">
      <c r="C158" s="2"/>
      <c r="D158" s="2" t="s">
        <v>26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3:17" x14ac:dyDescent="0.3">
      <c r="C159" s="2" t="s">
        <v>27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3:17" x14ac:dyDescent="0.3">
      <c r="D160" t="s">
        <v>28</v>
      </c>
    </row>
    <row r="162" spans="3:18" x14ac:dyDescent="0.3">
      <c r="D162">
        <f>_xlfn.NORM.DIST(55,50,5,TRUE) - _xlfn.NORM.DIST(45,50,5,TRUE)</f>
        <v>0.68268949213708607</v>
      </c>
    </row>
    <row r="163" spans="3:18" x14ac:dyDescent="0.3">
      <c r="D163" t="s">
        <v>12</v>
      </c>
    </row>
    <row r="164" spans="3:18" x14ac:dyDescent="0.3">
      <c r="D164" t="s">
        <v>29</v>
      </c>
    </row>
    <row r="165" spans="3:18" x14ac:dyDescent="0.3">
      <c r="D165" t="s">
        <v>14</v>
      </c>
    </row>
    <row r="166" spans="3:18" x14ac:dyDescent="0.3">
      <c r="D166" t="s">
        <v>30</v>
      </c>
    </row>
    <row r="168" spans="3:18" x14ac:dyDescent="0.3">
      <c r="C168" s="2" t="s">
        <v>31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3:18" x14ac:dyDescent="0.3">
      <c r="C169" s="2"/>
      <c r="D169" s="2" t="s">
        <v>32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3:18" x14ac:dyDescent="0.3">
      <c r="C170" s="2" t="s">
        <v>33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3:18" x14ac:dyDescent="0.3">
      <c r="D171" t="s">
        <v>34</v>
      </c>
    </row>
    <row r="172" spans="3:18" x14ac:dyDescent="0.3">
      <c r="D172" t="s">
        <v>35</v>
      </c>
    </row>
    <row r="173" spans="3:18" x14ac:dyDescent="0.3">
      <c r="D173" t="s">
        <v>36</v>
      </c>
    </row>
    <row r="182" spans="4:4" x14ac:dyDescent="0.3">
      <c r="D182" t="s">
        <v>38</v>
      </c>
    </row>
    <row r="183" spans="4:4" x14ac:dyDescent="0.3">
      <c r="D183" t="s">
        <v>39</v>
      </c>
    </row>
    <row r="184" spans="4:4" x14ac:dyDescent="0.3">
      <c r="D184" t="s">
        <v>40</v>
      </c>
    </row>
    <row r="185" spans="4:4" x14ac:dyDescent="0.3">
      <c r="D185" t="s">
        <v>41</v>
      </c>
    </row>
    <row r="186" spans="4:4" x14ac:dyDescent="0.3">
      <c r="D186" t="s">
        <v>42</v>
      </c>
    </row>
    <row r="187" spans="4:4" x14ac:dyDescent="0.3">
      <c r="D187" t="s">
        <v>14</v>
      </c>
    </row>
    <row r="188" spans="4:4" x14ac:dyDescent="0.3">
      <c r="D188" t="s">
        <v>43</v>
      </c>
    </row>
    <row r="189" spans="4:4" x14ac:dyDescent="0.3">
      <c r="D189" t="s">
        <v>44</v>
      </c>
    </row>
    <row r="190" spans="4:4" x14ac:dyDescent="0.3">
      <c r="D190" t="s">
        <v>45</v>
      </c>
    </row>
    <row r="191" spans="4:4" x14ac:dyDescent="0.3">
      <c r="D191" t="s">
        <v>46</v>
      </c>
    </row>
    <row r="192" spans="4:4" x14ac:dyDescent="0.3">
      <c r="D192" t="s">
        <v>47</v>
      </c>
    </row>
    <row r="193" spans="3:12" x14ac:dyDescent="0.3">
      <c r="D193" t="s">
        <v>48</v>
      </c>
    </row>
    <row r="195" spans="3:12" x14ac:dyDescent="0.3">
      <c r="C195" s="2" t="s">
        <v>49</v>
      </c>
      <c r="D195" s="2"/>
      <c r="E195" s="2"/>
      <c r="F195" s="2"/>
      <c r="G195" s="2"/>
      <c r="H195" s="2"/>
      <c r="I195" s="2"/>
      <c r="J195" s="2"/>
      <c r="K195" s="2"/>
      <c r="L195" s="2"/>
    </row>
    <row r="196" spans="3:12" x14ac:dyDescent="0.3">
      <c r="C196" s="2"/>
      <c r="D196" s="2" t="s">
        <v>50</v>
      </c>
      <c r="E196" s="2"/>
      <c r="F196" s="2"/>
      <c r="G196" s="2"/>
      <c r="H196" s="2"/>
      <c r="I196" s="2"/>
      <c r="J196" s="2"/>
      <c r="K196" s="2"/>
      <c r="L196" s="2"/>
    </row>
    <row r="197" spans="3:12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3:12" x14ac:dyDescent="0.3">
      <c r="C198" s="2" t="s">
        <v>51</v>
      </c>
      <c r="D198" s="2"/>
      <c r="E198" s="2"/>
      <c r="F198" s="2"/>
      <c r="G198" s="2"/>
      <c r="H198" s="2"/>
      <c r="I198" s="2"/>
      <c r="J198" s="2"/>
      <c r="K198" s="2"/>
      <c r="L198" s="2"/>
    </row>
    <row r="199" spans="3:12" x14ac:dyDescent="0.3">
      <c r="D199" t="s">
        <v>35</v>
      </c>
    </row>
    <row r="200" spans="3:12" x14ac:dyDescent="0.3">
      <c r="D200" t="s">
        <v>52</v>
      </c>
    </row>
    <row r="201" spans="3:12" x14ac:dyDescent="0.3">
      <c r="D201" t="s">
        <v>53</v>
      </c>
    </row>
    <row r="202" spans="3:12" x14ac:dyDescent="0.3">
      <c r="D202" t="s">
        <v>54</v>
      </c>
    </row>
    <row r="203" spans="3:12" x14ac:dyDescent="0.3">
      <c r="D203" t="s">
        <v>55</v>
      </c>
    </row>
    <row r="204" spans="3:12" x14ac:dyDescent="0.3">
      <c r="D204" t="s">
        <v>56</v>
      </c>
    </row>
    <row r="205" spans="3:12" x14ac:dyDescent="0.3">
      <c r="D205" t="s">
        <v>57</v>
      </c>
    </row>
    <row r="206" spans="3:12" x14ac:dyDescent="0.3">
      <c r="D206" t="s">
        <v>58</v>
      </c>
    </row>
    <row r="207" spans="3:12" x14ac:dyDescent="0.3">
      <c r="D207" t="s">
        <v>59</v>
      </c>
    </row>
    <row r="208" spans="3:12" x14ac:dyDescent="0.3">
      <c r="D208" t="s">
        <v>60</v>
      </c>
    </row>
    <row r="209" spans="3:12" x14ac:dyDescent="0.3">
      <c r="D209" t="s">
        <v>61</v>
      </c>
    </row>
    <row r="210" spans="3:12" x14ac:dyDescent="0.3">
      <c r="D210" t="s">
        <v>62</v>
      </c>
    </row>
    <row r="211" spans="3:12" x14ac:dyDescent="0.3">
      <c r="D211" t="s">
        <v>63</v>
      </c>
    </row>
    <row r="212" spans="3:12" x14ac:dyDescent="0.3">
      <c r="D212" t="s">
        <v>64</v>
      </c>
    </row>
    <row r="213" spans="3:12" x14ac:dyDescent="0.3">
      <c r="D213" t="s">
        <v>65</v>
      </c>
    </row>
    <row r="215" spans="3:12" x14ac:dyDescent="0.3">
      <c r="C215" s="2" t="s">
        <v>68</v>
      </c>
      <c r="D215" s="2"/>
      <c r="E215" s="2"/>
      <c r="F215" s="2"/>
      <c r="G215" s="2"/>
      <c r="H215" s="2"/>
      <c r="I215" s="2"/>
      <c r="J215" s="2"/>
      <c r="K215" s="2"/>
      <c r="L215" s="2"/>
    </row>
    <row r="216" spans="3:12" x14ac:dyDescent="0.3">
      <c r="C216" s="2"/>
      <c r="D216" s="2" t="s">
        <v>66</v>
      </c>
      <c r="E216" s="2"/>
      <c r="F216" s="2"/>
      <c r="G216" s="2"/>
      <c r="H216" s="2"/>
      <c r="I216" s="2"/>
      <c r="J216" s="2"/>
      <c r="K216" s="2"/>
      <c r="L216" s="2"/>
    </row>
    <row r="217" spans="3:12" x14ac:dyDescent="0.3">
      <c r="C217" s="2" t="s">
        <v>67</v>
      </c>
      <c r="D217" s="2"/>
      <c r="E217" s="2"/>
      <c r="F217" s="2"/>
      <c r="G217" s="2"/>
      <c r="H217" s="2"/>
      <c r="I217" s="2"/>
      <c r="J217" s="2"/>
      <c r="K217" s="2"/>
      <c r="L217" s="2"/>
    </row>
    <row r="218" spans="3:12" x14ac:dyDescent="0.3">
      <c r="D218" t="s">
        <v>69</v>
      </c>
    </row>
    <row r="219" spans="3:12" x14ac:dyDescent="0.3">
      <c r="D219" t="s">
        <v>70</v>
      </c>
    </row>
    <row r="220" spans="3:12" x14ac:dyDescent="0.3">
      <c r="D220" t="s">
        <v>71</v>
      </c>
    </row>
    <row r="221" spans="3:12" x14ac:dyDescent="0.3">
      <c r="D221" t="s">
        <v>72</v>
      </c>
    </row>
    <row r="222" spans="3:12" x14ac:dyDescent="0.3">
      <c r="D222" t="s">
        <v>14</v>
      </c>
    </row>
    <row r="223" spans="3:12" x14ac:dyDescent="0.3">
      <c r="D223" t="s">
        <v>73</v>
      </c>
    </row>
    <row r="225" spans="3:14" x14ac:dyDescent="0.3">
      <c r="C225" s="2" t="s">
        <v>74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3:14" x14ac:dyDescent="0.3">
      <c r="C226" s="2"/>
      <c r="D226" s="2" t="s">
        <v>75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3:14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3:14" x14ac:dyDescent="0.3">
      <c r="C228" s="2" t="s">
        <v>76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3:14" x14ac:dyDescent="0.3">
      <c r="D229" t="s">
        <v>77</v>
      </c>
    </row>
    <row r="230" spans="3:14" x14ac:dyDescent="0.3">
      <c r="D230" t="s">
        <v>78</v>
      </c>
    </row>
    <row r="231" spans="3:14" x14ac:dyDescent="0.3">
      <c r="D231" t="s">
        <v>79</v>
      </c>
    </row>
    <row r="232" spans="3:14" x14ac:dyDescent="0.3">
      <c r="D232" t="s">
        <v>80</v>
      </c>
    </row>
    <row r="233" spans="3:14" x14ac:dyDescent="0.3">
      <c r="D233" t="s">
        <v>81</v>
      </c>
    </row>
    <row r="234" spans="3:14" x14ac:dyDescent="0.3">
      <c r="D234" t="s">
        <v>37</v>
      </c>
    </row>
    <row r="236" spans="3:14" x14ac:dyDescent="0.3">
      <c r="D236">
        <f>1-_xlfn.BINOM.DIST(7,15,0.5,TRUE)</f>
        <v>0.5</v>
      </c>
    </row>
    <row r="237" spans="3:14" x14ac:dyDescent="0.3">
      <c r="D237" t="s">
        <v>12</v>
      </c>
    </row>
    <row r="238" spans="3:14" x14ac:dyDescent="0.3">
      <c r="D238" t="s">
        <v>82</v>
      </c>
    </row>
    <row r="239" spans="3:14" x14ac:dyDescent="0.3">
      <c r="D239" t="s">
        <v>14</v>
      </c>
    </row>
    <row r="240" spans="3:14" x14ac:dyDescent="0.3">
      <c r="D240" t="s">
        <v>83</v>
      </c>
    </row>
    <row r="242" spans="3:13" x14ac:dyDescent="0.3">
      <c r="C242" s="2" t="s">
        <v>84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3:13" x14ac:dyDescent="0.3">
      <c r="C243" s="2"/>
      <c r="D243" s="2" t="s">
        <v>85</v>
      </c>
      <c r="E243" s="2"/>
      <c r="F243" s="2"/>
      <c r="G243" s="2"/>
      <c r="H243" s="2"/>
      <c r="I243" s="2"/>
      <c r="J243" s="2"/>
      <c r="K243" s="2"/>
      <c r="L243" s="2"/>
      <c r="M243" s="2"/>
    </row>
    <row r="244" spans="3:13" x14ac:dyDescent="0.3">
      <c r="C244" s="2" t="s">
        <v>86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3:13" x14ac:dyDescent="0.3">
      <c r="D245" t="s">
        <v>35</v>
      </c>
    </row>
    <row r="246" spans="3:13" x14ac:dyDescent="0.3">
      <c r="D246" t="s">
        <v>87</v>
      </c>
    </row>
    <row r="253" spans="3:13" x14ac:dyDescent="0.3">
      <c r="D253" t="s">
        <v>14</v>
      </c>
    </row>
    <row r="254" spans="3:13" x14ac:dyDescent="0.3">
      <c r="D254" t="s">
        <v>88</v>
      </c>
    </row>
    <row r="255" spans="3:13" x14ac:dyDescent="0.3">
      <c r="D255" t="s">
        <v>89</v>
      </c>
    </row>
    <row r="256" spans="3:13" x14ac:dyDescent="0.3">
      <c r="D256" t="s">
        <v>90</v>
      </c>
    </row>
    <row r="257" spans="4:4" x14ac:dyDescent="0.3">
      <c r="D257" t="s">
        <v>91</v>
      </c>
    </row>
    <row r="258" spans="4:4" x14ac:dyDescent="0.3">
      <c r="D258" t="s">
        <v>92</v>
      </c>
    </row>
    <row r="259" spans="4:4" x14ac:dyDescent="0.3">
      <c r="D259" t="s">
        <v>38</v>
      </c>
    </row>
    <row r="260" spans="4:4" x14ac:dyDescent="0.3">
      <c r="D260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Verma</dc:creator>
  <cp:lastModifiedBy>Vaishnavi Verma</cp:lastModifiedBy>
  <dcterms:created xsi:type="dcterms:W3CDTF">2026-05-18T19:00:09Z</dcterms:created>
  <dcterms:modified xsi:type="dcterms:W3CDTF">2026-05-18T19:55:09Z</dcterms:modified>
</cp:coreProperties>
</file>